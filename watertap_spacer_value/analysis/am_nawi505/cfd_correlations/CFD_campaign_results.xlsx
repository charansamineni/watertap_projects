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am_nawi505/cfd_correlations/"/>
    </mc:Choice>
  </mc:AlternateContent>
  <xr:revisionPtr revIDLastSave="42" documentId="13_ncr:1_{9EF7BC23-1012-46F3-A316-4590039E44CD}" xr6:coauthVersionLast="47" xr6:coauthVersionMax="47" xr10:uidLastSave="{BECCF468-B3C1-E343-8605-86E10CAA85E7}"/>
  <bookViews>
    <workbookView xWindow="980" yWindow="760" windowWidth="29260" windowHeight="18880" xr2:uid="{00000000-000D-0000-FFFF-FFFF00000000}"/>
  </bookViews>
  <sheets>
    <sheet name="CFD_results" sheetId="1" r:id="rId1"/>
    <sheet name="python_input" sheetId="4" r:id="rId2"/>
    <sheet name="Spacer_design_and_exp_params" sheetId="3" r:id="rId3"/>
    <sheet name="analyzed_data_aqua_membran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3" i="1"/>
  <c r="C3" i="4"/>
  <c r="C4" i="4"/>
  <c r="C5" i="4"/>
  <c r="C6" i="4"/>
  <c r="C7" i="4"/>
  <c r="C8" i="4"/>
  <c r="C9" i="4"/>
  <c r="C10" i="4"/>
  <c r="C11" i="4"/>
  <c r="C2" i="4"/>
  <c r="J4" i="3"/>
  <c r="J3" i="3"/>
  <c r="C9" i="3"/>
  <c r="C10" i="3"/>
  <c r="C11" i="3"/>
  <c r="C12" i="3"/>
  <c r="C8" i="3"/>
  <c r="H4" i="3"/>
  <c r="E4" i="3"/>
  <c r="G4" i="3" s="1"/>
  <c r="E3" i="3"/>
  <c r="G3" i="3" s="1"/>
  <c r="D4" i="3"/>
  <c r="D3" i="3"/>
  <c r="C4" i="3"/>
  <c r="L4" i="3" s="1"/>
  <c r="C3" i="3"/>
  <c r="L3" i="3" s="1"/>
  <c r="B4" i="3"/>
  <c r="B3" i="3"/>
  <c r="H3" i="3" s="1"/>
  <c r="M4" i="1"/>
  <c r="M5" i="1"/>
  <c r="M6" i="1"/>
  <c r="M7" i="1"/>
  <c r="M8" i="1"/>
  <c r="M9" i="1"/>
  <c r="M10" i="1"/>
  <c r="M11" i="1"/>
  <c r="M12" i="1"/>
  <c r="M3" i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I4" i="1"/>
  <c r="I5" i="1"/>
  <c r="I6" i="1"/>
  <c r="I7" i="1"/>
  <c r="I8" i="1"/>
  <c r="I9" i="1"/>
  <c r="I10" i="1"/>
  <c r="I11" i="1"/>
  <c r="I12" i="1"/>
  <c r="I3" i="1"/>
  <c r="B6" i="2"/>
  <c r="B2" i="2"/>
  <c r="F4" i="1"/>
  <c r="F5" i="1"/>
  <c r="F6" i="1"/>
  <c r="F7" i="1"/>
  <c r="F8" i="1"/>
  <c r="F9" i="1"/>
  <c r="F10" i="1"/>
  <c r="F11" i="1"/>
  <c r="F12" i="1"/>
  <c r="F3" i="1"/>
  <c r="C4" i="1"/>
  <c r="E4" i="1" s="1"/>
  <c r="B3" i="2" s="1"/>
  <c r="C5" i="1"/>
  <c r="E5" i="1" s="1"/>
  <c r="B4" i="2" s="1"/>
  <c r="C6" i="1"/>
  <c r="E6" i="1" s="1"/>
  <c r="B5" i="2" s="1"/>
  <c r="C7" i="1"/>
  <c r="E7" i="1" s="1"/>
  <c r="D6" i="2" s="1"/>
  <c r="C8" i="1"/>
  <c r="E8" i="1" s="1"/>
  <c r="D7" i="2" s="1"/>
  <c r="C9" i="1"/>
  <c r="E9" i="1" s="1"/>
  <c r="D8" i="2" s="1"/>
  <c r="C10" i="1"/>
  <c r="E10" i="1" s="1"/>
  <c r="D9" i="2" s="1"/>
  <c r="C11" i="1"/>
  <c r="E11" i="1" s="1"/>
  <c r="B10" i="2" s="1"/>
  <c r="C12" i="1"/>
  <c r="E12" i="1" s="1"/>
  <c r="C3" i="1"/>
  <c r="E3" i="1" s="1"/>
  <c r="D2" i="2" s="1"/>
  <c r="B17" i="2"/>
  <c r="B18" i="2" s="1"/>
  <c r="B16" i="2"/>
  <c r="B15" i="2"/>
  <c r="G11" i="2"/>
  <c r="F11" i="2"/>
  <c r="A11" i="2"/>
  <c r="G10" i="2"/>
  <c r="F10" i="2"/>
  <c r="A10" i="2"/>
  <c r="G9" i="2"/>
  <c r="F9" i="2"/>
  <c r="A9" i="2"/>
  <c r="G8" i="2"/>
  <c r="F8" i="2"/>
  <c r="A8" i="2"/>
  <c r="G7" i="2"/>
  <c r="F7" i="2"/>
  <c r="A7" i="2"/>
  <c r="G6" i="2"/>
  <c r="F6" i="2"/>
  <c r="A6" i="2"/>
  <c r="G5" i="2"/>
  <c r="F5" i="2"/>
  <c r="A5" i="2"/>
  <c r="G4" i="2"/>
  <c r="F4" i="2"/>
  <c r="A4" i="2"/>
  <c r="G3" i="2"/>
  <c r="F3" i="2"/>
  <c r="A3" i="2"/>
  <c r="G2" i="2"/>
  <c r="F2" i="2"/>
  <c r="A2" i="2"/>
  <c r="B8" i="3" l="1"/>
  <c r="E8" i="3" s="1"/>
  <c r="B12" i="3"/>
  <c r="E12" i="3" s="1"/>
  <c r="B11" i="3"/>
  <c r="E11" i="3" s="1"/>
  <c r="B10" i="3"/>
  <c r="E10" i="3" s="1"/>
  <c r="B9" i="3"/>
  <c r="E9" i="3" s="1"/>
  <c r="I4" i="3"/>
  <c r="I3" i="3"/>
  <c r="D11" i="2"/>
  <c r="B11" i="2"/>
  <c r="C11" i="2"/>
  <c r="C10" i="2"/>
  <c r="C8" i="2"/>
  <c r="C6" i="2"/>
  <c r="B9" i="2"/>
  <c r="C3" i="2"/>
  <c r="B8" i="2"/>
  <c r="B7" i="2"/>
  <c r="C7" i="2"/>
  <c r="C2" i="2"/>
  <c r="C9" i="2"/>
  <c r="C5" i="2"/>
  <c r="C4" i="2"/>
  <c r="D4" i="2"/>
  <c r="D5" i="2"/>
  <c r="D10" i="2"/>
  <c r="D3" i="2"/>
  <c r="C17" i="2"/>
  <c r="C15" i="2"/>
  <c r="C16" i="2"/>
  <c r="K3" i="3" l="1"/>
  <c r="E18" i="3"/>
  <c r="E19" i="3"/>
  <c r="K4" i="3"/>
  <c r="F19" i="3" s="1"/>
  <c r="C18" i="2"/>
  <c r="F18" i="3" l="1"/>
  <c r="D10" i="3"/>
  <c r="D8" i="3"/>
  <c r="D9" i="3"/>
  <c r="D12" i="3"/>
  <c r="D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tc={4EE7C62E-40EB-4B75-A36A-0F5D95351182}</author>
  </authors>
  <commentList>
    <comment ref="G2" authorId="0" shapeId="0" xr:uid="{4EE7C62E-40EB-4B75-A36A-0F5D953511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spacers per unit area
</t>
      </text>
    </comment>
  </commentList>
</comments>
</file>

<file path=xl/sharedStrings.xml><?xml version="1.0" encoding="utf-8"?>
<sst xmlns="http://schemas.openxmlformats.org/spreadsheetml/2006/main" count="90" uniqueCount="75">
  <si>
    <t>C/Cinit(bottom)</t>
  </si>
  <si>
    <t>C/Cinit(top)</t>
  </si>
  <si>
    <t>Inlet_velocity(cm/s)</t>
  </si>
  <si>
    <t>Channel_height(mm)</t>
  </si>
  <si>
    <t>hs/hc</t>
  </si>
  <si>
    <t>C/Cint(average)</t>
  </si>
  <si>
    <t>deltaP(bar)</t>
  </si>
  <si>
    <t>Feed_pressure(bar)</t>
  </si>
  <si>
    <t>Average</t>
  </si>
  <si>
    <t>St.Dev</t>
  </si>
  <si>
    <t>VarP</t>
  </si>
  <si>
    <t>VarP/Average*100</t>
  </si>
  <si>
    <t>Statistics</t>
  </si>
  <si>
    <t>C/Cint</t>
  </si>
  <si>
    <t>deltaP</t>
  </si>
  <si>
    <t>Spacer_height(mm)</t>
  </si>
  <si>
    <t>m/s</t>
  </si>
  <si>
    <t>mils</t>
  </si>
  <si>
    <t>mm</t>
  </si>
  <si>
    <t>#</t>
  </si>
  <si>
    <t>Pa</t>
  </si>
  <si>
    <t>bar</t>
  </si>
  <si>
    <t>Inlet_velocity</t>
  </si>
  <si>
    <t>Spacer_height</t>
  </si>
  <si>
    <t>Channel_height</t>
  </si>
  <si>
    <t>Feed_pressure</t>
  </si>
  <si>
    <t>deltax(window_width)</t>
  </si>
  <si>
    <t>C/Cinit(average)</t>
  </si>
  <si>
    <t>kf</t>
  </si>
  <si>
    <t>dp/dx (Pa/m)</t>
  </si>
  <si>
    <t>dp/dx(bar/m)</t>
  </si>
  <si>
    <t>Spacer diameter (mm)</t>
  </si>
  <si>
    <t>Height of channel(mm)</t>
  </si>
  <si>
    <t>Height of spacer(mm)</t>
  </si>
  <si>
    <t>Distance between spacers(mm)</t>
  </si>
  <si>
    <t>width of channel(m)</t>
  </si>
  <si>
    <t>Shape</t>
  </si>
  <si>
    <t>Dome</t>
  </si>
  <si>
    <t>Porosity</t>
  </si>
  <si>
    <t>Nsp</t>
  </si>
  <si>
    <t>Spacer_area</t>
  </si>
  <si>
    <t>Spacer diameter (m)</t>
  </si>
  <si>
    <t>Height of channel(m)</t>
  </si>
  <si>
    <t>Height of spacer(m)</t>
  </si>
  <si>
    <t>Distance between spacers(m)</t>
  </si>
  <si>
    <t>dh(m)</t>
  </si>
  <si>
    <t>dh(mm)</t>
  </si>
  <si>
    <t>dh(open channel)</t>
  </si>
  <si>
    <t>Velocity(ml/min)</t>
  </si>
  <si>
    <t>v(m/s)</t>
  </si>
  <si>
    <t>rho/mu</t>
  </si>
  <si>
    <t>Re(dh-open)</t>
  </si>
  <si>
    <t>Re(dh-spacer)</t>
  </si>
  <si>
    <t xml:space="preserve">Membranes have same A/B values </t>
  </si>
  <si>
    <t>Water permeability</t>
  </si>
  <si>
    <t>±0.2134</t>
  </si>
  <si>
    <t>LMH/bar</t>
  </si>
  <si>
    <t>±5.92e-13</t>
  </si>
  <si>
    <t>m/s/Pa</t>
  </si>
  <si>
    <t>Salt permeability (B)</t>
  </si>
  <si>
    <t>±0.052889</t>
  </si>
  <si>
    <t>LMH</t>
  </si>
  <si>
    <t>±1.46e-08</t>
  </si>
  <si>
    <t>Inlet concentration</t>
  </si>
  <si>
    <t>g NaCl/kg solution</t>
  </si>
  <si>
    <t>R(J/mol.K)</t>
  </si>
  <si>
    <t>T(K)</t>
  </si>
  <si>
    <t>Inlet conc</t>
  </si>
  <si>
    <t>5.14g</t>
  </si>
  <si>
    <t>10cm</t>
  </si>
  <si>
    <t>Inlet_velocity(m/s)</t>
  </si>
  <si>
    <t>Spacer_height(mil)</t>
  </si>
  <si>
    <t>deltaP(Pa)</t>
  </si>
  <si>
    <t>Pump efficiency</t>
  </si>
  <si>
    <t>SEC/m (Wh/m^4)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</si>
</sst>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E+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2" fontId="0" fillId="2" borderId="1" xfId="0" applyNumberFormat="1" applyFill="1" applyBorder="1"/>
    <xf numFmtId="2" fontId="0" fillId="0" borderId="0" xfId="0" applyNumberFormat="1" applyAlignment="1">
      <alignment wrapText="1"/>
    </xf>
    <xf numFmtId="165" fontId="0" fillId="0" borderId="0" xfId="0" applyNumberFormat="1"/>
    <xf numFmtId="0" fontId="0" fillId="4" borderId="0" xfId="0" applyFill="1"/>
    <xf numFmtId="11" fontId="0" fillId="0" borderId="0" xfId="0" applyNumberFormat="1"/>
    <xf numFmtId="0" fontId="0" fillId="0" borderId="2" xfId="0" applyBorder="1"/>
    <xf numFmtId="0" fontId="3" fillId="0" borderId="2" xfId="0" applyFont="1" applyBorder="1"/>
    <xf numFmtId="166" fontId="2" fillId="3" borderId="0" xfId="1" applyNumberFormat="1"/>
    <xf numFmtId="0" fontId="0" fillId="0" borderId="4" xfId="0" applyBorder="1"/>
    <xf numFmtId="0" fontId="0" fillId="0" borderId="5" xfId="0" applyBorder="1"/>
    <xf numFmtId="11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43" fontId="1" fillId="0" borderId="0" xfId="2" applyFont="1"/>
    <xf numFmtId="43" fontId="1" fillId="0" borderId="0" xfId="2" applyFont="1" applyAlignment="1">
      <alignment wrapText="1"/>
    </xf>
    <xf numFmtId="43" fontId="0" fillId="0" borderId="0" xfId="2" applyFont="1"/>
  </cellXfs>
  <cellStyles count="3">
    <cellStyle name="Comma" xfId="2" builtinId="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xmicharan Samineni" id="{F697CB2F-4079-485E-889A-F3D42D369727}" userId="S::slcharan@stanford.edu::4db96d9c-e270-474a-b8fd-7f2a30f2c8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4-09-23T22:00:54.39" personId="{F697CB2F-4079-485E-889A-F3D42D369727}" id="{4EE7C62E-40EB-4B75-A36A-0F5D95351182}">
    <text xml:space="preserve">Number of spacers per unit area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Q3" sqref="Q3"/>
    </sheetView>
  </sheetViews>
  <sheetFormatPr baseColWidth="10" defaultColWidth="8.83203125" defaultRowHeight="15" x14ac:dyDescent="0.2"/>
  <cols>
    <col min="1" max="1" width="12.5" bestFit="1" customWidth="1"/>
    <col min="2" max="3" width="13.1640625" bestFit="1" customWidth="1"/>
    <col min="4" max="4" width="5.5" bestFit="1" customWidth="1"/>
    <col min="5" max="5" width="14.5" bestFit="1" customWidth="1"/>
    <col min="6" max="6" width="13.5" bestFit="1" customWidth="1"/>
    <col min="7" max="7" width="14.5" customWidth="1"/>
    <col min="8" max="8" width="11" bestFit="1" customWidth="1"/>
    <col min="9" max="9" width="15" bestFit="1" customWidth="1"/>
    <col min="10" max="10" width="8.5" bestFit="1" customWidth="1"/>
    <col min="11" max="11" width="13.5" bestFit="1" customWidth="1"/>
    <col min="12" max="12" width="20.6640625" bestFit="1" customWidth="1"/>
    <col min="13" max="13" width="11.83203125" bestFit="1" customWidth="1"/>
    <col min="14" max="14" width="12.1640625" bestFit="1" customWidth="1"/>
    <col min="15" max="15" width="12.5" bestFit="1" customWidth="1"/>
    <col min="16" max="16" width="13.5" bestFit="1" customWidth="1"/>
    <col min="17" max="17" width="14.33203125" style="32" bestFit="1" customWidth="1"/>
  </cols>
  <sheetData>
    <row r="1" spans="1:17" s="3" customFormat="1" x14ac:dyDescent="0.2">
      <c r="A1" s="10" t="s">
        <v>22</v>
      </c>
      <c r="B1" s="5" t="s">
        <v>23</v>
      </c>
      <c r="C1" s="10" t="s">
        <v>23</v>
      </c>
      <c r="D1" s="5" t="s">
        <v>4</v>
      </c>
      <c r="E1" s="10" t="s">
        <v>24</v>
      </c>
      <c r="F1" s="5" t="s">
        <v>25</v>
      </c>
      <c r="G1" s="5" t="s">
        <v>0</v>
      </c>
      <c r="H1" s="5" t="s">
        <v>1</v>
      </c>
      <c r="I1" s="10" t="s">
        <v>27</v>
      </c>
      <c r="J1" s="5" t="s">
        <v>14</v>
      </c>
      <c r="K1" s="5" t="s">
        <v>25</v>
      </c>
      <c r="L1" s="5" t="s">
        <v>26</v>
      </c>
      <c r="M1" s="3" t="s">
        <v>28</v>
      </c>
      <c r="N1" s="3" t="s">
        <v>29</v>
      </c>
      <c r="O1" s="3" t="s">
        <v>30</v>
      </c>
      <c r="P1" s="3" t="s">
        <v>73</v>
      </c>
      <c r="Q1" s="30" t="s">
        <v>74</v>
      </c>
    </row>
    <row r="2" spans="1:17" s="4" customFormat="1" ht="16" x14ac:dyDescent="0.2">
      <c r="A2" s="11" t="s">
        <v>16</v>
      </c>
      <c r="B2" s="6" t="s">
        <v>17</v>
      </c>
      <c r="C2" s="11" t="s">
        <v>18</v>
      </c>
      <c r="D2" s="6" t="s">
        <v>19</v>
      </c>
      <c r="E2" s="11" t="s">
        <v>18</v>
      </c>
      <c r="F2" s="6" t="s">
        <v>21</v>
      </c>
      <c r="G2" s="6" t="s">
        <v>19</v>
      </c>
      <c r="H2" s="6" t="s">
        <v>19</v>
      </c>
      <c r="I2" s="11" t="s">
        <v>19</v>
      </c>
      <c r="J2" s="6" t="s">
        <v>20</v>
      </c>
      <c r="K2" s="6" t="s">
        <v>20</v>
      </c>
      <c r="L2" s="6" t="s">
        <v>18</v>
      </c>
      <c r="M2" s="4" t="s">
        <v>16</v>
      </c>
      <c r="Q2" s="31"/>
    </row>
    <row r="3" spans="1:17" x14ac:dyDescent="0.2">
      <c r="A3" s="12">
        <v>0.1</v>
      </c>
      <c r="B3" s="8">
        <v>12</v>
      </c>
      <c r="C3" s="12">
        <f>B3*0.0254</f>
        <v>0.30479999999999996</v>
      </c>
      <c r="D3" s="7">
        <v>0.85</v>
      </c>
      <c r="E3" s="12">
        <f>C3/D3</f>
        <v>0.3585882352941176</v>
      </c>
      <c r="F3" s="9">
        <f t="shared" ref="F3:F12" si="0">K3/100000</f>
        <v>9.3768700000000003</v>
      </c>
      <c r="G3" s="7">
        <v>1.1214999999999999</v>
      </c>
      <c r="H3" s="7">
        <v>1.1200000000000001</v>
      </c>
      <c r="I3" s="12">
        <f>AVERAGE(G3:H3)</f>
        <v>1.1207500000000001</v>
      </c>
      <c r="J3" s="7">
        <v>2814.6959999999999</v>
      </c>
      <c r="K3" s="7">
        <v>937687</v>
      </c>
      <c r="L3" s="7">
        <v>0.15</v>
      </c>
      <c r="M3" s="14">
        <f>(A3*0.02*E3*0.001*0.7)/LN(I3)</f>
        <v>4.4037884101699599E-6</v>
      </c>
      <c r="N3">
        <f>J3/0.12</f>
        <v>23455.8</v>
      </c>
      <c r="O3" s="13">
        <f>N3*0.00001</f>
        <v>0.23455800000000002</v>
      </c>
      <c r="P3">
        <v>0.85</v>
      </c>
      <c r="Q3" s="32">
        <f>(N3/(P3*3.6*10^6))*1000</f>
        <v>7.6652941176470586</v>
      </c>
    </row>
    <row r="4" spans="1:17" x14ac:dyDescent="0.2">
      <c r="A4" s="12">
        <v>0.1</v>
      </c>
      <c r="B4" s="8">
        <v>14</v>
      </c>
      <c r="C4" s="12">
        <f t="shared" ref="C4:C12" si="1">B4*0.0254</f>
        <v>0.35559999999999997</v>
      </c>
      <c r="D4" s="7">
        <v>0.85</v>
      </c>
      <c r="E4" s="12">
        <f t="shared" ref="E4:E12" si="2">C4/D4</f>
        <v>0.41835294117647054</v>
      </c>
      <c r="F4" s="9">
        <f t="shared" si="0"/>
        <v>9.3768700000000003</v>
      </c>
      <c r="G4" s="7">
        <v>1.1229</v>
      </c>
      <c r="H4" s="7">
        <v>1.121</v>
      </c>
      <c r="I4" s="12">
        <f t="shared" ref="I4:I12" si="3">AVERAGE(G4:H4)</f>
        <v>1.12195</v>
      </c>
      <c r="J4" s="7">
        <v>1782.934</v>
      </c>
      <c r="K4" s="7">
        <v>937687</v>
      </c>
      <c r="L4" s="7">
        <v>0.15</v>
      </c>
      <c r="M4" s="14">
        <f t="shared" ref="M4:M12" si="4">(A4*0.02*E4*0.001*0.7)/LN(I4)</f>
        <v>5.0899718571716574E-6</v>
      </c>
      <c r="N4">
        <f t="shared" ref="N4:N12" si="5">J4/0.12</f>
        <v>14857.783333333333</v>
      </c>
      <c r="O4" s="13">
        <f t="shared" ref="O4:O12" si="6">N4*0.00001</f>
        <v>0.14857783333333335</v>
      </c>
      <c r="P4">
        <v>0.85</v>
      </c>
      <c r="Q4" s="32">
        <f t="shared" ref="Q4:Q12" si="7">(N4/(P4*3.6*10^6))*1000</f>
        <v>4.8554847494553375</v>
      </c>
    </row>
    <row r="5" spans="1:17" x14ac:dyDescent="0.2">
      <c r="A5" s="12">
        <v>0.1</v>
      </c>
      <c r="B5" s="8">
        <v>16</v>
      </c>
      <c r="C5" s="12">
        <f t="shared" si="1"/>
        <v>0.40639999999999998</v>
      </c>
      <c r="D5" s="7">
        <v>0.85</v>
      </c>
      <c r="E5" s="12">
        <f t="shared" si="2"/>
        <v>0.47811764705882354</v>
      </c>
      <c r="F5" s="9">
        <f t="shared" si="0"/>
        <v>9.3768700000000003</v>
      </c>
      <c r="G5" s="7">
        <v>1.1187</v>
      </c>
      <c r="H5" s="7">
        <v>1.1213</v>
      </c>
      <c r="I5" s="12">
        <f t="shared" si="3"/>
        <v>1.1200000000000001</v>
      </c>
      <c r="J5" s="7">
        <v>1955.0311999999999</v>
      </c>
      <c r="K5" s="7">
        <v>937687</v>
      </c>
      <c r="L5" s="7">
        <v>0.15</v>
      </c>
      <c r="M5" s="14">
        <f t="shared" si="4"/>
        <v>5.906401402866965E-6</v>
      </c>
      <c r="N5">
        <f t="shared" si="5"/>
        <v>16291.926666666666</v>
      </c>
      <c r="O5" s="13">
        <f t="shared" si="6"/>
        <v>0.16291926666666667</v>
      </c>
      <c r="P5">
        <v>0.85</v>
      </c>
      <c r="Q5" s="32">
        <f t="shared" si="7"/>
        <v>5.3241590413943349</v>
      </c>
    </row>
    <row r="6" spans="1:17" x14ac:dyDescent="0.2">
      <c r="A6" s="12">
        <v>0.1</v>
      </c>
      <c r="B6" s="8">
        <v>18</v>
      </c>
      <c r="C6" s="12">
        <f t="shared" si="1"/>
        <v>0.4572</v>
      </c>
      <c r="D6" s="7">
        <v>0.85</v>
      </c>
      <c r="E6" s="12">
        <f t="shared" si="2"/>
        <v>0.53788235294117648</v>
      </c>
      <c r="F6" s="9">
        <f t="shared" si="0"/>
        <v>9.3768700000000003</v>
      </c>
      <c r="G6" s="7">
        <v>1.119</v>
      </c>
      <c r="H6" s="7">
        <v>1.1248</v>
      </c>
      <c r="I6" s="12">
        <f t="shared" si="3"/>
        <v>1.1219000000000001</v>
      </c>
      <c r="J6" s="7">
        <v>1218.7528</v>
      </c>
      <c r="K6" s="7">
        <v>937687</v>
      </c>
      <c r="L6" s="7">
        <v>0.15</v>
      </c>
      <c r="M6" s="14">
        <f t="shared" si="4"/>
        <v>6.5467851192127879E-6</v>
      </c>
      <c r="N6">
        <f t="shared" si="5"/>
        <v>10156.273333333333</v>
      </c>
      <c r="O6" s="13">
        <f t="shared" si="6"/>
        <v>0.10156273333333334</v>
      </c>
      <c r="P6">
        <v>0.85</v>
      </c>
      <c r="Q6" s="32">
        <f t="shared" si="7"/>
        <v>3.3190435729847492</v>
      </c>
    </row>
    <row r="7" spans="1:17" x14ac:dyDescent="0.2">
      <c r="A7" s="12">
        <v>0.1</v>
      </c>
      <c r="B7" s="8">
        <v>20</v>
      </c>
      <c r="C7" s="12">
        <f t="shared" si="1"/>
        <v>0.50800000000000001</v>
      </c>
      <c r="D7" s="7">
        <v>0.85</v>
      </c>
      <c r="E7" s="12">
        <f t="shared" si="2"/>
        <v>0.59764705882352942</v>
      </c>
      <c r="F7" s="9">
        <f t="shared" si="0"/>
        <v>9.3768700000000003</v>
      </c>
      <c r="G7" s="7">
        <v>1.1160000000000001</v>
      </c>
      <c r="H7" s="7">
        <v>1.1232</v>
      </c>
      <c r="I7" s="12">
        <f t="shared" si="3"/>
        <v>1.1196000000000002</v>
      </c>
      <c r="J7" s="7">
        <v>1135.491</v>
      </c>
      <c r="K7" s="7">
        <v>937687</v>
      </c>
      <c r="L7" s="7">
        <v>0.15</v>
      </c>
      <c r="M7" s="14">
        <f t="shared" si="4"/>
        <v>7.4063462059951345E-6</v>
      </c>
      <c r="N7">
        <f t="shared" si="5"/>
        <v>9462.4250000000011</v>
      </c>
      <c r="O7" s="13">
        <f t="shared" si="6"/>
        <v>9.4624250000000021E-2</v>
      </c>
      <c r="P7">
        <v>0.85</v>
      </c>
      <c r="Q7" s="32">
        <f t="shared" si="7"/>
        <v>3.0922957516339875</v>
      </c>
    </row>
    <row r="8" spans="1:17" x14ac:dyDescent="0.2">
      <c r="A8" s="12">
        <v>0.4</v>
      </c>
      <c r="B8" s="8">
        <v>12</v>
      </c>
      <c r="C8" s="12">
        <f t="shared" si="1"/>
        <v>0.30479999999999996</v>
      </c>
      <c r="D8" s="7">
        <v>0.85</v>
      </c>
      <c r="E8" s="12">
        <f t="shared" si="2"/>
        <v>0.3585882352941176</v>
      </c>
      <c r="F8" s="9">
        <f t="shared" si="0"/>
        <v>9.3768700000000003</v>
      </c>
      <c r="G8" s="7">
        <v>1.0968</v>
      </c>
      <c r="H8" s="7">
        <v>1.0960000000000001</v>
      </c>
      <c r="I8" s="12">
        <f t="shared" si="3"/>
        <v>1.0964</v>
      </c>
      <c r="J8" s="7">
        <v>16135.674000000001</v>
      </c>
      <c r="K8" s="7">
        <v>937687</v>
      </c>
      <c r="L8" s="7">
        <v>0.15</v>
      </c>
      <c r="M8" s="14">
        <f t="shared" si="4"/>
        <v>2.1819500317794483E-5</v>
      </c>
      <c r="N8">
        <f t="shared" si="5"/>
        <v>134463.95000000001</v>
      </c>
      <c r="O8" s="13">
        <f t="shared" si="6"/>
        <v>1.3446395000000002</v>
      </c>
      <c r="P8">
        <v>0.85</v>
      </c>
      <c r="Q8" s="32">
        <f t="shared" si="7"/>
        <v>43.942467320261443</v>
      </c>
    </row>
    <row r="9" spans="1:17" x14ac:dyDescent="0.2">
      <c r="A9" s="12">
        <v>0.4</v>
      </c>
      <c r="B9" s="8">
        <v>14</v>
      </c>
      <c r="C9" s="12">
        <f t="shared" si="1"/>
        <v>0.35559999999999997</v>
      </c>
      <c r="D9" s="7">
        <v>0.85</v>
      </c>
      <c r="E9" s="12">
        <f t="shared" si="2"/>
        <v>0.41835294117647054</v>
      </c>
      <c r="F9" s="9">
        <f t="shared" si="0"/>
        <v>9.3768700000000003</v>
      </c>
      <c r="G9" s="7">
        <v>1.095</v>
      </c>
      <c r="H9" s="7">
        <v>1.089</v>
      </c>
      <c r="I9" s="12">
        <f t="shared" si="3"/>
        <v>1.0920000000000001</v>
      </c>
      <c r="J9" s="7">
        <v>15882.571</v>
      </c>
      <c r="K9" s="7">
        <v>937687</v>
      </c>
      <c r="L9" s="7">
        <v>0.15</v>
      </c>
      <c r="M9" s="14">
        <f t="shared" si="4"/>
        <v>2.6619169605569014E-5</v>
      </c>
      <c r="N9">
        <f t="shared" si="5"/>
        <v>132354.75833333333</v>
      </c>
      <c r="O9" s="13">
        <f t="shared" si="6"/>
        <v>1.3235475833333334</v>
      </c>
      <c r="P9">
        <v>0.85</v>
      </c>
      <c r="Q9" s="32">
        <f t="shared" si="7"/>
        <v>43.253188997821354</v>
      </c>
    </row>
    <row r="10" spans="1:17" x14ac:dyDescent="0.2">
      <c r="A10" s="12">
        <v>0.4</v>
      </c>
      <c r="B10" s="8">
        <v>16</v>
      </c>
      <c r="C10" s="12">
        <f t="shared" si="1"/>
        <v>0.40639999999999998</v>
      </c>
      <c r="D10" s="7">
        <v>0.85</v>
      </c>
      <c r="E10" s="12">
        <f t="shared" si="2"/>
        <v>0.47811764705882354</v>
      </c>
      <c r="F10" s="9">
        <f t="shared" si="0"/>
        <v>9.3768700000000003</v>
      </c>
      <c r="G10" s="7">
        <v>1.0879000000000001</v>
      </c>
      <c r="H10" s="7">
        <v>1.0871999999999999</v>
      </c>
      <c r="I10" s="12">
        <f t="shared" si="3"/>
        <v>1.08755</v>
      </c>
      <c r="J10" s="7">
        <v>9464.8729999999996</v>
      </c>
      <c r="K10" s="7">
        <v>937687</v>
      </c>
      <c r="L10" s="7">
        <v>0.15</v>
      </c>
      <c r="M10" s="14">
        <f t="shared" si="4"/>
        <v>3.1902059535626626E-5</v>
      </c>
      <c r="N10">
        <f t="shared" si="5"/>
        <v>78873.941666666666</v>
      </c>
      <c r="O10" s="13">
        <f t="shared" si="6"/>
        <v>0.78873941666666669</v>
      </c>
      <c r="P10">
        <v>0.85</v>
      </c>
      <c r="Q10" s="32">
        <f t="shared" si="7"/>
        <v>25.775797930283225</v>
      </c>
    </row>
    <row r="11" spans="1:17" x14ac:dyDescent="0.2">
      <c r="A11" s="12">
        <v>0.4</v>
      </c>
      <c r="B11" s="8">
        <v>18</v>
      </c>
      <c r="C11" s="12">
        <f t="shared" si="1"/>
        <v>0.4572</v>
      </c>
      <c r="D11" s="7">
        <v>0.85</v>
      </c>
      <c r="E11" s="12">
        <f t="shared" si="2"/>
        <v>0.53788235294117648</v>
      </c>
      <c r="F11" s="9">
        <f t="shared" si="0"/>
        <v>9.3768700000000003</v>
      </c>
      <c r="G11" s="7">
        <v>1.0841000000000001</v>
      </c>
      <c r="H11" s="7">
        <v>1.0843</v>
      </c>
      <c r="I11" s="12">
        <f t="shared" si="3"/>
        <v>1.0842000000000001</v>
      </c>
      <c r="J11" s="7">
        <v>10495.857</v>
      </c>
      <c r="K11" s="7">
        <v>937687</v>
      </c>
      <c r="L11" s="7">
        <v>0.15</v>
      </c>
      <c r="M11" s="14">
        <f t="shared" si="4"/>
        <v>3.7259428584411718E-5</v>
      </c>
      <c r="N11">
        <f t="shared" si="5"/>
        <v>87465.475000000006</v>
      </c>
      <c r="O11" s="13">
        <f t="shared" si="6"/>
        <v>0.87465475000000015</v>
      </c>
      <c r="P11">
        <v>0.85</v>
      </c>
      <c r="Q11" s="32">
        <f t="shared" si="7"/>
        <v>28.583488562091507</v>
      </c>
    </row>
    <row r="12" spans="1:17" x14ac:dyDescent="0.2">
      <c r="A12" s="12">
        <v>0.4</v>
      </c>
      <c r="B12" s="8">
        <v>20</v>
      </c>
      <c r="C12" s="12">
        <f t="shared" si="1"/>
        <v>0.50800000000000001</v>
      </c>
      <c r="D12" s="7">
        <v>0.85</v>
      </c>
      <c r="E12" s="12">
        <f t="shared" si="2"/>
        <v>0.59764705882352942</v>
      </c>
      <c r="F12" s="9">
        <f t="shared" si="0"/>
        <v>9.3768700000000003</v>
      </c>
      <c r="G12" s="7">
        <v>1.0889</v>
      </c>
      <c r="H12" s="7">
        <v>1.0940000000000001</v>
      </c>
      <c r="I12" s="12">
        <f t="shared" si="3"/>
        <v>1.09145</v>
      </c>
      <c r="J12" s="7">
        <v>6395.2825000000003</v>
      </c>
      <c r="K12" s="7">
        <v>937687</v>
      </c>
      <c r="L12" s="7">
        <v>0.15</v>
      </c>
      <c r="M12" s="14">
        <f t="shared" si="4"/>
        <v>3.8246313840282585E-5</v>
      </c>
      <c r="N12">
        <f t="shared" si="5"/>
        <v>53294.020833333336</v>
      </c>
      <c r="O12" s="13">
        <f t="shared" si="6"/>
        <v>0.53294020833333344</v>
      </c>
      <c r="P12">
        <v>0.85</v>
      </c>
      <c r="Q12" s="32">
        <f t="shared" si="7"/>
        <v>17.416346677559915</v>
      </c>
    </row>
    <row r="16" spans="1:17" x14ac:dyDescent="0.2">
      <c r="K16" s="1"/>
    </row>
    <row r="17" spans="11:13" x14ac:dyDescent="0.2">
      <c r="K17" s="1"/>
      <c r="M17" t="s">
        <v>69</v>
      </c>
    </row>
    <row r="18" spans="11:13" x14ac:dyDescent="0.2">
      <c r="K18" s="1"/>
    </row>
    <row r="19" spans="11:13" x14ac:dyDescent="0.2">
      <c r="K19" s="1"/>
    </row>
    <row r="20" spans="11:13" x14ac:dyDescent="0.2">
      <c r="K20" s="1"/>
    </row>
    <row r="21" spans="11:13" x14ac:dyDescent="0.2">
      <c r="K21" s="1"/>
    </row>
    <row r="22" spans="11:13" x14ac:dyDescent="0.2">
      <c r="K22" s="1"/>
    </row>
    <row r="23" spans="11:13" x14ac:dyDescent="0.2">
      <c r="K23" s="1"/>
    </row>
    <row r="24" spans="11:13" x14ac:dyDescent="0.2">
      <c r="K24" s="1"/>
    </row>
    <row r="25" spans="11:13" x14ac:dyDescent="0.2">
      <c r="K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42CF-424A-4F31-B5B6-2ECB3CBBE568}">
  <dimension ref="A1:D11"/>
  <sheetViews>
    <sheetView workbookViewId="0">
      <selection activeCell="F46" sqref="F46"/>
    </sheetView>
  </sheetViews>
  <sheetFormatPr baseColWidth="10" defaultColWidth="8.83203125" defaultRowHeight="15" x14ac:dyDescent="0.2"/>
  <cols>
    <col min="1" max="2" width="16.5" bestFit="1" customWidth="1"/>
    <col min="3" max="3" width="15" bestFit="1" customWidth="1"/>
    <col min="4" max="4" width="9.5" bestFit="1" customWidth="1"/>
  </cols>
  <sheetData>
    <row r="1" spans="1:4" x14ac:dyDescent="0.2">
      <c r="A1" s="10" t="s">
        <v>70</v>
      </c>
      <c r="B1" s="5" t="s">
        <v>71</v>
      </c>
      <c r="C1" s="10" t="s">
        <v>27</v>
      </c>
      <c r="D1" s="5" t="s">
        <v>72</v>
      </c>
    </row>
    <row r="2" spans="1:4" x14ac:dyDescent="0.2">
      <c r="A2" s="12">
        <v>0.1</v>
      </c>
      <c r="B2" s="8">
        <v>12</v>
      </c>
      <c r="C2" s="12">
        <f>CFD_results!I3</f>
        <v>1.1207500000000001</v>
      </c>
      <c r="D2" s="7">
        <v>2814.6959999999999</v>
      </c>
    </row>
    <row r="3" spans="1:4" x14ac:dyDescent="0.2">
      <c r="A3" s="12">
        <v>0.1</v>
      </c>
      <c r="B3" s="8">
        <v>14</v>
      </c>
      <c r="C3" s="12">
        <f>CFD_results!I4</f>
        <v>1.12195</v>
      </c>
      <c r="D3" s="7">
        <v>1782.934</v>
      </c>
    </row>
    <row r="4" spans="1:4" x14ac:dyDescent="0.2">
      <c r="A4" s="12">
        <v>0.1</v>
      </c>
      <c r="B4" s="8">
        <v>16</v>
      </c>
      <c r="C4" s="12">
        <f>CFD_results!I5</f>
        <v>1.1200000000000001</v>
      </c>
      <c r="D4" s="7">
        <v>1955.0311999999999</v>
      </c>
    </row>
    <row r="5" spans="1:4" x14ac:dyDescent="0.2">
      <c r="A5" s="12">
        <v>0.1</v>
      </c>
      <c r="B5" s="8">
        <v>18</v>
      </c>
      <c r="C5" s="12">
        <f>CFD_results!I6</f>
        <v>1.1219000000000001</v>
      </c>
      <c r="D5" s="7">
        <v>1218.7528</v>
      </c>
    </row>
    <row r="6" spans="1:4" x14ac:dyDescent="0.2">
      <c r="A6" s="12">
        <v>0.1</v>
      </c>
      <c r="B6" s="8">
        <v>20</v>
      </c>
      <c r="C6" s="12">
        <f>CFD_results!I7</f>
        <v>1.1196000000000002</v>
      </c>
      <c r="D6" s="7">
        <v>1135.491</v>
      </c>
    </row>
    <row r="7" spans="1:4" x14ac:dyDescent="0.2">
      <c r="A7" s="12">
        <v>0.4</v>
      </c>
      <c r="B7" s="8">
        <v>12</v>
      </c>
      <c r="C7" s="12">
        <f>CFD_results!I8</f>
        <v>1.0964</v>
      </c>
      <c r="D7" s="7">
        <v>16135.674000000001</v>
      </c>
    </row>
    <row r="8" spans="1:4" x14ac:dyDescent="0.2">
      <c r="A8" s="12">
        <v>0.4</v>
      </c>
      <c r="B8" s="8">
        <v>14</v>
      </c>
      <c r="C8" s="12">
        <f>CFD_results!I9</f>
        <v>1.0920000000000001</v>
      </c>
      <c r="D8" s="7">
        <v>15882.571</v>
      </c>
    </row>
    <row r="9" spans="1:4" x14ac:dyDescent="0.2">
      <c r="A9" s="12">
        <v>0.4</v>
      </c>
      <c r="B9" s="8">
        <v>16</v>
      </c>
      <c r="C9" s="12">
        <f>CFD_results!I10</f>
        <v>1.08755</v>
      </c>
      <c r="D9" s="7">
        <v>9464.8729999999996</v>
      </c>
    </row>
    <row r="10" spans="1:4" x14ac:dyDescent="0.2">
      <c r="A10" s="12">
        <v>0.4</v>
      </c>
      <c r="B10" s="8">
        <v>18</v>
      </c>
      <c r="C10" s="12">
        <f>CFD_results!I11</f>
        <v>1.0842000000000001</v>
      </c>
      <c r="D10" s="7">
        <v>10495.857</v>
      </c>
    </row>
    <row r="11" spans="1:4" x14ac:dyDescent="0.2">
      <c r="A11" s="12">
        <v>0.4</v>
      </c>
      <c r="B11" s="8">
        <v>20</v>
      </c>
      <c r="C11" s="12">
        <f>CFD_results!I12</f>
        <v>1.09145</v>
      </c>
      <c r="D11" s="7">
        <v>6395.2825000000003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CC3C-3523-40F1-9BE9-D526B6E2723E}">
  <dimension ref="A2:L36"/>
  <sheetViews>
    <sheetView zoomScale="85" zoomScaleNormal="85" workbookViewId="0">
      <selection activeCell="F10" sqref="F10"/>
    </sheetView>
  </sheetViews>
  <sheetFormatPr baseColWidth="10" defaultColWidth="8.83203125" defaultRowHeight="15" x14ac:dyDescent="0.2"/>
  <cols>
    <col min="1" max="1" width="13.5" customWidth="1"/>
    <col min="2" max="2" width="21" bestFit="1" customWidth="1"/>
    <col min="3" max="3" width="22.5" bestFit="1" customWidth="1"/>
    <col min="4" max="4" width="20.5" bestFit="1" customWidth="1"/>
    <col min="5" max="5" width="29.5" bestFit="1" customWidth="1"/>
    <col min="6" max="6" width="19.33203125" bestFit="1" customWidth="1"/>
    <col min="8" max="8" width="12" bestFit="1" customWidth="1"/>
    <col min="11" max="11" width="12" bestFit="1" customWidth="1"/>
    <col min="12" max="12" width="16.83203125" bestFit="1" customWidth="1"/>
  </cols>
  <sheetData>
    <row r="2" spans="1:12" x14ac:dyDescent="0.2">
      <c r="A2" s="3" t="s">
        <v>36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35</v>
      </c>
      <c r="G2" s="3" t="s">
        <v>39</v>
      </c>
      <c r="H2" s="3" t="s">
        <v>40</v>
      </c>
      <c r="I2" s="3" t="s">
        <v>4</v>
      </c>
      <c r="J2" s="3" t="s">
        <v>38</v>
      </c>
      <c r="K2" s="3" t="s">
        <v>45</v>
      </c>
      <c r="L2" s="3" t="s">
        <v>47</v>
      </c>
    </row>
    <row r="3" spans="1:12" x14ac:dyDescent="0.2">
      <c r="A3" t="s">
        <v>37</v>
      </c>
      <c r="B3">
        <f t="shared" ref="B3:E4" si="0">A18*0.001</f>
        <v>1.25E-3</v>
      </c>
      <c r="C3">
        <f t="shared" si="0"/>
        <v>7.6000000000000004E-4</v>
      </c>
      <c r="D3">
        <f t="shared" si="0"/>
        <v>6.5000000000000008E-4</v>
      </c>
      <c r="E3">
        <f t="shared" si="0"/>
        <v>8.0000000000000002E-3</v>
      </c>
      <c r="F3">
        <v>0.02</v>
      </c>
      <c r="G3">
        <f>ROUNDDOWN(1/(E3)^2,1)</f>
        <v>15625</v>
      </c>
      <c r="H3" s="16">
        <f>(PI()*(B3)^2)/4</f>
        <v>1.2271846303085129E-6</v>
      </c>
      <c r="I3">
        <f>D3/C3</f>
        <v>0.85526315789473695</v>
      </c>
      <c r="J3" s="2">
        <f>1-(G3*H3*I3)</f>
        <v>0.98360053434003836</v>
      </c>
      <c r="K3" s="14">
        <f>(4*J3*C3)/(2+G3*(B3*D3+B3^2)/4)</f>
        <v>1.4881696813507489E-3</v>
      </c>
      <c r="L3">
        <f>2*C3*F3/(C3+F3)</f>
        <v>1.4643545279383432E-3</v>
      </c>
    </row>
    <row r="4" spans="1:12" x14ac:dyDescent="0.2">
      <c r="A4" s="15"/>
      <c r="B4">
        <f t="shared" si="0"/>
        <v>1.3799999999999999E-3</v>
      </c>
      <c r="C4">
        <f t="shared" si="0"/>
        <v>8.4999999999999995E-4</v>
      </c>
      <c r="D4">
        <f t="shared" si="0"/>
        <v>5.6000000000000006E-4</v>
      </c>
      <c r="E4">
        <f t="shared" si="0"/>
        <v>9.300000000000001E-3</v>
      </c>
      <c r="F4">
        <v>0.02</v>
      </c>
      <c r="G4">
        <f>ROUNDDOWN(1/(E4)^2,1)</f>
        <v>11562</v>
      </c>
      <c r="H4" s="16">
        <f>(PI()*(B4)^2)/4</f>
        <v>1.4957122623741003E-6</v>
      </c>
      <c r="I4">
        <f>D4/C4</f>
        <v>0.65882352941176481</v>
      </c>
      <c r="J4" s="2">
        <f>1-(G4*H4*I4)</f>
        <v>0.98860668458889545</v>
      </c>
      <c r="K4" s="14">
        <f>(4*J4*C4)/(2+G4*(B4*D4+B4^2)/4)</f>
        <v>1.6741536893385527E-3</v>
      </c>
      <c r="L4">
        <f>2*C4*F4/(C4+F4)</f>
        <v>1.6306954436450839E-3</v>
      </c>
    </row>
    <row r="7" spans="1:12" x14ac:dyDescent="0.2">
      <c r="A7" t="s">
        <v>48</v>
      </c>
      <c r="B7" s="3" t="s">
        <v>49</v>
      </c>
      <c r="C7" s="3" t="s">
        <v>50</v>
      </c>
      <c r="D7" s="3" t="s">
        <v>52</v>
      </c>
      <c r="E7" s="3" t="s">
        <v>51</v>
      </c>
    </row>
    <row r="8" spans="1:12" x14ac:dyDescent="0.2">
      <c r="A8" s="17">
        <v>30</v>
      </c>
      <c r="B8">
        <f>(A8*0.000001)/(60*($C$3*$F$3))</f>
        <v>3.2894736842105254E-2</v>
      </c>
      <c r="C8">
        <f>997/0.00089</f>
        <v>1120224.7191011237</v>
      </c>
      <c r="D8" s="19">
        <f>C8*B8*$K$3</f>
        <v>54.838304712695759</v>
      </c>
      <c r="E8" s="19">
        <f>B8*C8*$L$3</f>
        <v>53.960728280400943</v>
      </c>
    </row>
    <row r="9" spans="1:12" x14ac:dyDescent="0.2">
      <c r="A9" s="18">
        <v>60</v>
      </c>
      <c r="B9">
        <f t="shared" ref="B9:B12" si="1">(A9*0.000001)/(60*($C$3*$F$3))</f>
        <v>6.5789473684210509E-2</v>
      </c>
      <c r="C9">
        <f t="shared" ref="C9:C12" si="2">997/0.00089</f>
        <v>1120224.7191011237</v>
      </c>
      <c r="D9" s="19">
        <f t="shared" ref="D9:D12" si="3">C9*B9*$K$3</f>
        <v>109.67660942539152</v>
      </c>
      <c r="E9" s="19">
        <f t="shared" ref="E9:E12" si="4">B9*C9*$L$3</f>
        <v>107.92145656080189</v>
      </c>
    </row>
    <row r="10" spans="1:12" x14ac:dyDescent="0.2">
      <c r="A10" s="17">
        <v>90</v>
      </c>
      <c r="B10">
        <f t="shared" si="1"/>
        <v>9.8684210526315763E-2</v>
      </c>
      <c r="C10">
        <f t="shared" si="2"/>
        <v>1120224.7191011237</v>
      </c>
      <c r="D10" s="19">
        <f t="shared" si="3"/>
        <v>164.51491413808728</v>
      </c>
      <c r="E10" s="19">
        <f t="shared" si="4"/>
        <v>161.88218484120281</v>
      </c>
    </row>
    <row r="11" spans="1:12" x14ac:dyDescent="0.2">
      <c r="A11" s="17">
        <v>180</v>
      </c>
      <c r="B11">
        <f t="shared" si="1"/>
        <v>0.19736842105263153</v>
      </c>
      <c r="C11">
        <f t="shared" si="2"/>
        <v>1120224.7191011237</v>
      </c>
      <c r="D11" s="19">
        <f t="shared" si="3"/>
        <v>329.02982827617456</v>
      </c>
      <c r="E11" s="19">
        <f t="shared" si="4"/>
        <v>323.76436968240563</v>
      </c>
    </row>
    <row r="12" spans="1:12" x14ac:dyDescent="0.2">
      <c r="A12" s="18">
        <v>360</v>
      </c>
      <c r="B12">
        <f t="shared" si="1"/>
        <v>0.39473684210526305</v>
      </c>
      <c r="C12">
        <f t="shared" si="2"/>
        <v>1120224.7191011237</v>
      </c>
      <c r="D12" s="19">
        <f t="shared" si="3"/>
        <v>658.05965655234911</v>
      </c>
      <c r="E12" s="19">
        <f t="shared" si="4"/>
        <v>647.52873936481126</v>
      </c>
    </row>
    <row r="17" spans="1:6" x14ac:dyDescent="0.2">
      <c r="A17" s="3" t="s">
        <v>31</v>
      </c>
      <c r="B17" s="3" t="s">
        <v>32</v>
      </c>
      <c r="C17" s="3" t="s">
        <v>33</v>
      </c>
      <c r="D17" s="3" t="s">
        <v>34</v>
      </c>
      <c r="E17" s="3" t="s">
        <v>38</v>
      </c>
      <c r="F17" s="3" t="s">
        <v>46</v>
      </c>
    </row>
    <row r="18" spans="1:6" x14ac:dyDescent="0.2">
      <c r="A18">
        <v>1.25</v>
      </c>
      <c r="B18">
        <v>0.76</v>
      </c>
      <c r="C18">
        <v>0.65</v>
      </c>
      <c r="D18">
        <v>8</v>
      </c>
      <c r="E18" s="2">
        <f>J3</f>
        <v>0.98360053434003836</v>
      </c>
      <c r="F18" s="2">
        <f>K3*1000</f>
        <v>1.488169681350749</v>
      </c>
    </row>
    <row r="19" spans="1:6" x14ac:dyDescent="0.2">
      <c r="A19">
        <v>1.38</v>
      </c>
      <c r="B19">
        <v>0.85</v>
      </c>
      <c r="C19">
        <v>0.56000000000000005</v>
      </c>
      <c r="D19">
        <v>9.3000000000000007</v>
      </c>
      <c r="E19" s="2">
        <f>J4</f>
        <v>0.98860668458889545</v>
      </c>
      <c r="F19" s="2">
        <f>K4*1000</f>
        <v>1.6741536893385527</v>
      </c>
    </row>
    <row r="23" spans="1:6" ht="16" thickBot="1" x14ac:dyDescent="0.25">
      <c r="A23" s="3" t="s">
        <v>53</v>
      </c>
      <c r="B23" s="3"/>
      <c r="C23" s="3"/>
      <c r="D23" s="3"/>
    </row>
    <row r="24" spans="1:6" x14ac:dyDescent="0.2">
      <c r="A24" s="28" t="s">
        <v>54</v>
      </c>
      <c r="B24" s="20">
        <v>2.4341270703597799</v>
      </c>
      <c r="C24" s="20" t="s">
        <v>55</v>
      </c>
      <c r="D24" s="21" t="s">
        <v>56</v>
      </c>
    </row>
    <row r="25" spans="1:6" ht="16" thickBot="1" x14ac:dyDescent="0.25">
      <c r="A25" s="29"/>
      <c r="B25" s="22">
        <v>6.7614640843327401E-12</v>
      </c>
      <c r="C25" s="23" t="s">
        <v>57</v>
      </c>
      <c r="D25" s="24" t="s">
        <v>58</v>
      </c>
    </row>
    <row r="26" spans="1:6" ht="16" thickBot="1" x14ac:dyDescent="0.25"/>
    <row r="27" spans="1:6" x14ac:dyDescent="0.2">
      <c r="A27" s="28" t="s">
        <v>59</v>
      </c>
      <c r="B27" s="20">
        <v>0.19070000000000001</v>
      </c>
      <c r="C27" s="20" t="s">
        <v>60</v>
      </c>
      <c r="D27" s="21" t="s">
        <v>61</v>
      </c>
    </row>
    <row r="28" spans="1:6" ht="16" thickBot="1" x14ac:dyDescent="0.25">
      <c r="A28" s="29"/>
      <c r="B28" s="22">
        <v>5.2977913194123099E-8</v>
      </c>
      <c r="C28" s="23" t="s">
        <v>62</v>
      </c>
      <c r="D28" s="24" t="s">
        <v>16</v>
      </c>
    </row>
    <row r="29" spans="1:6" ht="16" thickBot="1" x14ac:dyDescent="0.25">
      <c r="A29" s="25" t="s">
        <v>63</v>
      </c>
      <c r="B29" s="26"/>
      <c r="C29" s="26">
        <v>5.14</v>
      </c>
      <c r="D29" s="26" t="s">
        <v>64</v>
      </c>
      <c r="E29" s="27"/>
    </row>
    <row r="32" spans="1:6" x14ac:dyDescent="0.2">
      <c r="B32" t="s">
        <v>65</v>
      </c>
      <c r="C32" t="s">
        <v>66</v>
      </c>
    </row>
    <row r="33" spans="1:3" x14ac:dyDescent="0.2">
      <c r="B33">
        <v>8.3140000000000001</v>
      </c>
      <c r="C33">
        <v>298</v>
      </c>
    </row>
    <row r="35" spans="1:3" x14ac:dyDescent="0.2">
      <c r="A35" t="s">
        <v>67</v>
      </c>
    </row>
    <row r="36" spans="1:3" x14ac:dyDescent="0.2">
      <c r="A36" t="s">
        <v>68</v>
      </c>
    </row>
  </sheetData>
  <mergeCells count="2">
    <mergeCell ref="A24:A25"/>
    <mergeCell ref="A27:A28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7F42-B147-4112-880B-82A0B35D3B56}">
  <dimension ref="A1:G18"/>
  <sheetViews>
    <sheetView workbookViewId="0">
      <selection activeCell="G39" sqref="G39"/>
    </sheetView>
  </sheetViews>
  <sheetFormatPr baseColWidth="10" defaultColWidth="8.83203125" defaultRowHeight="15" x14ac:dyDescent="0.2"/>
  <cols>
    <col min="1" max="1" width="18.33203125" bestFit="1" customWidth="1"/>
    <col min="2" max="2" width="19.1640625" bestFit="1" customWidth="1"/>
    <col min="3" max="3" width="17.83203125" bestFit="1" customWidth="1"/>
    <col min="4" max="4" width="7.5" bestFit="1" customWidth="1"/>
    <col min="5" max="5" width="14.5" bestFit="1" customWidth="1"/>
    <col min="6" max="6" width="10.5" bestFit="1" customWidth="1"/>
    <col min="7" max="7" width="17.83203125" bestFit="1" customWidth="1"/>
  </cols>
  <sheetData>
    <row r="1" spans="1:7" x14ac:dyDescent="0.2">
      <c r="A1" t="s">
        <v>2</v>
      </c>
      <c r="B1" t="s">
        <v>3</v>
      </c>
      <c r="C1" t="s">
        <v>15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>
        <f>CFD_results!A3*100</f>
        <v>10</v>
      </c>
      <c r="B2" s="1">
        <f>CFD_results!E3</f>
        <v>0.3585882352941176</v>
      </c>
      <c r="C2" s="1">
        <f>CFD_results!C3</f>
        <v>0.30479999999999996</v>
      </c>
      <c r="D2" s="1">
        <f>CFD_results!B3/CFD_results!E3</f>
        <v>33.464566929133866</v>
      </c>
      <c r="E2" s="1">
        <v>1.1200000000000001</v>
      </c>
      <c r="F2" s="2">
        <f>CFD_results!J3*10^-5</f>
        <v>2.8146960000000002E-2</v>
      </c>
      <c r="G2" s="1">
        <f>CFD_results!K3*10^-5</f>
        <v>9.3768700000000003</v>
      </c>
    </row>
    <row r="3" spans="1:7" x14ac:dyDescent="0.2">
      <c r="A3" s="1">
        <f>CFD_results!A4*100</f>
        <v>10</v>
      </c>
      <c r="B3" s="1">
        <f>CFD_results!E4</f>
        <v>0.41835294117647054</v>
      </c>
      <c r="C3" s="1">
        <f>CFD_results!C4</f>
        <v>0.35559999999999997</v>
      </c>
      <c r="D3" s="1">
        <f>CFD_results!B4/CFD_results!E4</f>
        <v>33.464566929133859</v>
      </c>
      <c r="E3" s="1">
        <v>1.121</v>
      </c>
      <c r="F3" s="2">
        <f>CFD_results!J4*10^-5</f>
        <v>1.7829340000000003E-2</v>
      </c>
      <c r="G3" s="1">
        <f>CFD_results!K4*10^-5</f>
        <v>9.3768700000000003</v>
      </c>
    </row>
    <row r="4" spans="1:7" x14ac:dyDescent="0.2">
      <c r="A4" s="1">
        <f>CFD_results!A5*100</f>
        <v>10</v>
      </c>
      <c r="B4" s="1">
        <f>CFD_results!E5</f>
        <v>0.47811764705882354</v>
      </c>
      <c r="C4" s="1">
        <f>CFD_results!C5</f>
        <v>0.40639999999999998</v>
      </c>
      <c r="D4" s="1">
        <f>CFD_results!B5/CFD_results!E5</f>
        <v>33.464566929133859</v>
      </c>
      <c r="E4" s="1">
        <v>1.1213</v>
      </c>
      <c r="F4" s="2">
        <f>CFD_results!J5*10^-5</f>
        <v>1.9550312E-2</v>
      </c>
      <c r="G4" s="1">
        <f>CFD_results!K5*10^-5</f>
        <v>9.3768700000000003</v>
      </c>
    </row>
    <row r="5" spans="1:7" x14ac:dyDescent="0.2">
      <c r="A5" s="1">
        <f>CFD_results!A6*100</f>
        <v>10</v>
      </c>
      <c r="B5" s="1">
        <f>CFD_results!E6</f>
        <v>0.53788235294117648</v>
      </c>
      <c r="C5" s="1">
        <f>CFD_results!C6</f>
        <v>0.4572</v>
      </c>
      <c r="D5" s="1">
        <f>CFD_results!B6/CFD_results!E6</f>
        <v>33.464566929133859</v>
      </c>
      <c r="E5" s="1">
        <v>1.1248</v>
      </c>
      <c r="F5" s="2">
        <f>CFD_results!J6*10^-5</f>
        <v>1.2187528000000001E-2</v>
      </c>
      <c r="G5" s="1">
        <f>CFD_results!K6*10^-5</f>
        <v>9.3768700000000003</v>
      </c>
    </row>
    <row r="6" spans="1:7" x14ac:dyDescent="0.2">
      <c r="A6" s="1">
        <f>CFD_results!A7*100</f>
        <v>10</v>
      </c>
      <c r="B6" s="1">
        <f>CFD_results!E7</f>
        <v>0.59764705882352942</v>
      </c>
      <c r="C6" s="1">
        <f>CFD_results!C7</f>
        <v>0.50800000000000001</v>
      </c>
      <c r="D6" s="1">
        <f>CFD_results!B7/CFD_results!E7</f>
        <v>33.464566929133859</v>
      </c>
      <c r="E6" s="1">
        <v>1.1232</v>
      </c>
      <c r="F6" s="2">
        <f>CFD_results!J7*10^-5</f>
        <v>1.1354910000000001E-2</v>
      </c>
      <c r="G6" s="1">
        <f>CFD_results!K7*10^-5</f>
        <v>9.3768700000000003</v>
      </c>
    </row>
    <row r="7" spans="1:7" x14ac:dyDescent="0.2">
      <c r="A7" s="1">
        <f>CFD_results!A8*100</f>
        <v>40</v>
      </c>
      <c r="B7" s="1">
        <f>CFD_results!E8</f>
        <v>0.3585882352941176</v>
      </c>
      <c r="C7" s="1">
        <f>CFD_results!C8</f>
        <v>0.30479999999999996</v>
      </c>
      <c r="D7" s="1">
        <f>CFD_results!B8/CFD_results!E8</f>
        <v>33.464566929133866</v>
      </c>
      <c r="E7" s="1">
        <v>1.0960000000000001</v>
      </c>
      <c r="F7" s="2">
        <f>CFD_results!J8*10^-5</f>
        <v>0.16135674000000003</v>
      </c>
      <c r="G7" s="1">
        <f>CFD_results!K8*10^-5</f>
        <v>9.3768700000000003</v>
      </c>
    </row>
    <row r="8" spans="1:7" x14ac:dyDescent="0.2">
      <c r="A8" s="1">
        <f>CFD_results!A9*100</f>
        <v>40</v>
      </c>
      <c r="B8" s="1">
        <f>CFD_results!E9</f>
        <v>0.41835294117647054</v>
      </c>
      <c r="C8" s="1">
        <f>CFD_results!C9</f>
        <v>0.35559999999999997</v>
      </c>
      <c r="D8" s="1">
        <f>CFD_results!B9/CFD_results!E9</f>
        <v>33.464566929133859</v>
      </c>
      <c r="E8" s="1">
        <v>1.089</v>
      </c>
      <c r="F8" s="2">
        <f>CFD_results!J9*10^-5</f>
        <v>0.15882571000000001</v>
      </c>
      <c r="G8" s="1">
        <f>CFD_results!K9*10^-5</f>
        <v>9.3768700000000003</v>
      </c>
    </row>
    <row r="9" spans="1:7" x14ac:dyDescent="0.2">
      <c r="A9" s="1">
        <f>CFD_results!A10*100</f>
        <v>40</v>
      </c>
      <c r="B9" s="1">
        <f>CFD_results!E10</f>
        <v>0.47811764705882354</v>
      </c>
      <c r="C9" s="1">
        <f>CFD_results!C10</f>
        <v>0.40639999999999998</v>
      </c>
      <c r="D9" s="1">
        <f>CFD_results!B10/CFD_results!E10</f>
        <v>33.464566929133859</v>
      </c>
      <c r="E9" s="1">
        <v>1.0871999999999999</v>
      </c>
      <c r="F9" s="2">
        <f>CFD_results!J10*10^-5</f>
        <v>9.464873E-2</v>
      </c>
      <c r="G9" s="1">
        <f>CFD_results!K10*10^-5</f>
        <v>9.3768700000000003</v>
      </c>
    </row>
    <row r="10" spans="1:7" x14ac:dyDescent="0.2">
      <c r="A10" s="1">
        <f>CFD_results!A11*100</f>
        <v>40</v>
      </c>
      <c r="B10" s="1">
        <f>CFD_results!E11</f>
        <v>0.53788235294117648</v>
      </c>
      <c r="C10" s="1">
        <f>CFD_results!C11</f>
        <v>0.4572</v>
      </c>
      <c r="D10" s="1">
        <f>CFD_results!B11/CFD_results!E11</f>
        <v>33.464566929133859</v>
      </c>
      <c r="E10" s="1">
        <v>1.0843</v>
      </c>
      <c r="F10" s="2">
        <f>CFD_results!J11*10^-5</f>
        <v>0.10495857000000001</v>
      </c>
      <c r="G10" s="1">
        <f>CFD_results!K11*10^-5</f>
        <v>9.3768700000000003</v>
      </c>
    </row>
    <row r="11" spans="1:7" x14ac:dyDescent="0.2">
      <c r="A11" s="1">
        <f>CFD_results!A12*100</f>
        <v>40</v>
      </c>
      <c r="B11" s="1">
        <f>CFD_results!E12</f>
        <v>0.59764705882352942</v>
      </c>
      <c r="C11" s="1">
        <f>CFD_results!C12</f>
        <v>0.50800000000000001</v>
      </c>
      <c r="D11" s="1">
        <f>CFD_results!B12/CFD_results!E12</f>
        <v>33.464566929133859</v>
      </c>
      <c r="E11" s="1">
        <v>1.0940000000000001</v>
      </c>
      <c r="F11" s="2">
        <f>CFD_results!J12*10^-5</f>
        <v>6.3952825000000005E-2</v>
      </c>
      <c r="G11" s="1">
        <f>CFD_results!K12*10^-5</f>
        <v>9.3768700000000003</v>
      </c>
    </row>
    <row r="14" spans="1:7" x14ac:dyDescent="0.2">
      <c r="A14" s="3" t="s">
        <v>12</v>
      </c>
      <c r="B14" s="3" t="s">
        <v>13</v>
      </c>
      <c r="C14" s="3" t="s">
        <v>14</v>
      </c>
    </row>
    <row r="15" spans="1:7" x14ac:dyDescent="0.2">
      <c r="A15" t="s">
        <v>8</v>
      </c>
      <c r="B15" s="2">
        <f>AVERAGE(analyzed_data_aqua_membranes!E2:E11)</f>
        <v>1.10608</v>
      </c>
      <c r="C15" s="2">
        <f>AVERAGE(analyzed_data_aqua_membranes!F2:F11)</f>
        <v>6.7281162500000005E-2</v>
      </c>
    </row>
    <row r="16" spans="1:7" x14ac:dyDescent="0.2">
      <c r="A16" t="s">
        <v>9</v>
      </c>
      <c r="B16" s="2">
        <f>_xlfn.STDEV.P(analyzed_data_aqua_membranes!E2:E11)</f>
        <v>1.631452113915698E-2</v>
      </c>
      <c r="C16" s="2">
        <f>_xlfn.STDEV.P(analyzed_data_aqua_membranes!F2:F11)</f>
        <v>5.6416774101936663E-2</v>
      </c>
    </row>
    <row r="17" spans="1:3" x14ac:dyDescent="0.2">
      <c r="A17" t="s">
        <v>10</v>
      </c>
      <c r="B17" s="2">
        <f>_xlfn.VAR.P(analyzed_data_aqua_membranes!E2:E11) * 100</f>
        <v>2.6616359999999992E-2</v>
      </c>
      <c r="C17" s="2">
        <f>_xlfn.VAR.P(analyzed_data_aqua_membranes!F2:F11) * 100</f>
        <v>0.31828524000689512</v>
      </c>
    </row>
    <row r="18" spans="1:3" x14ac:dyDescent="0.2">
      <c r="A18" t="s">
        <v>11</v>
      </c>
      <c r="B18" s="2">
        <f>(B17/B15)*(100)</f>
        <v>2.4063684362794726</v>
      </c>
      <c r="C18" s="2">
        <f>(C17/C15)*(100)</f>
        <v>473.06739090142071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CFD_results</vt:lpstr>
      <vt:lpstr>python_input</vt:lpstr>
      <vt:lpstr>Spacer_design_and_exp_params</vt:lpstr>
      <vt:lpstr>analyzed_data_aqua_membranes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Laxmicharan Samineni</dc:creator>
  <cp:lastModifiedBy>Laxmicharan Samineni</cp:lastModifiedBy>
  <dcterms:created xsi:type="dcterms:W3CDTF">2015-06-05T18:17:20Z</dcterms:created>
  <dcterms:modified xsi:type="dcterms:W3CDTF">2025-10-02T06:31:41Z</dcterms:modified>
</cp:coreProperties>
</file>